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c4741880cf2069e/个人/投资/打新/"/>
    </mc:Choice>
  </mc:AlternateContent>
  <xr:revisionPtr revIDLastSave="2" documentId="13_ncr:1_{08569790-98B1-4BCA-8BDD-5D22C37A5B69}" xr6:coauthVersionLast="47" xr6:coauthVersionMax="47" xr10:uidLastSave="{6BA015DA-8A03-4DBF-9B0C-21D3513CBE59}"/>
  <bookViews>
    <workbookView xWindow="5505" yWindow="1065" windowWidth="38400" windowHeight="1617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6" i="3"/>
  <c r="B4" i="3"/>
</calcChain>
</file>

<file path=xl/sharedStrings.xml><?xml version="1.0" encoding="utf-8"?>
<sst xmlns="http://schemas.openxmlformats.org/spreadsheetml/2006/main" count="19" uniqueCount="19">
  <si>
    <t>股份代号</t>
  </si>
  <si>
    <t>全球发售项下的发售股份数目</t>
  </si>
  <si>
    <t>香港发售股份数目</t>
    <phoneticPr fontId="1" type="noConversion"/>
  </si>
  <si>
    <t>香港发售股份数目占比</t>
    <phoneticPr fontId="1" type="noConversion"/>
  </si>
  <si>
    <t>国际发售股份数目</t>
  </si>
  <si>
    <t>国际发售股份数目占比</t>
    <phoneticPr fontId="1" type="noConversion"/>
  </si>
  <si>
    <t>指示性发售价上限</t>
    <phoneticPr fontId="1" type="noConversion"/>
  </si>
  <si>
    <t>HKD 8.08/股</t>
    <phoneticPr fontId="1" type="noConversion"/>
  </si>
  <si>
    <t>最终定价≥8.08港元	需求强劲	积极申购</t>
    <phoneticPr fontId="1" type="noConversion"/>
  </si>
  <si>
    <t>指示性发售价下限</t>
    <phoneticPr fontId="1" type="noConversion"/>
  </si>
  <si>
    <t>HKD 6.48/股</t>
    <phoneticPr fontId="1" type="noConversion"/>
  </si>
  <si>
    <t>定价贴近下限6.5港元	中性偏弱	谨慎评估基本面</t>
    <phoneticPr fontId="1" type="noConversion"/>
  </si>
  <si>
    <t>下调后发售价（机构认购不足）</t>
    <phoneticPr fontId="1" type="noConversion"/>
  </si>
  <si>
    <t>HKD 5.84/股</t>
    <phoneticPr fontId="1" type="noConversion"/>
  </si>
  <si>
    <t>触发5.84 港元	严重遇冷	回避或搏反弹</t>
    <phoneticPr fontId="1" type="noConversion"/>
  </si>
  <si>
    <t>面值</t>
  </si>
  <si>
    <t>法定总股本</t>
    <phoneticPr fontId="1" type="noConversion"/>
  </si>
  <si>
    <t>已发行总股本</t>
    <phoneticPr fontId="1" type="noConversion"/>
  </si>
  <si>
    <t>已发行占比法定总股本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</si>
</sst>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USD]\ #,##0.00000;[Red][$USD]\ \-#,##0.0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Calibri"/>
      <family val="2"/>
    </font>
    <font>
      <b/>
      <sz val="9"/>
      <color rgb="FF000000"/>
      <name val="微软雅黑"/>
      <family val="2"/>
      <charset val="134"/>
    </font>
    <font>
      <sz val="9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6DC4-3803-4649-A075-2F163F0F2E49}">
  <dimension ref="A1:C16"/>
  <sheetViews>
    <sheetView showGridLines="0" tabSelected="1" workbookViewId="0">
      <selection activeCell="J18" sqref="J18"/>
    </sheetView>
  </sheetViews>
  <sheetFormatPr defaultColWidth="8.625" defaultRowHeight="12" x14ac:dyDescent="0.2"/>
  <cols>
    <col min="1" max="1" width="23.875" style="2" bestFit="1" customWidth="1"/>
    <col min="2" max="2" width="10.875" style="2" bestFit="1" customWidth="1"/>
    <col min="3" max="3" width="34.5" style="2" bestFit="1" customWidth="1"/>
    <col min="4" max="16384" width="8.625" style="2"/>
  </cols>
  <sheetData>
    <row r="1" spans="1:3" ht="14.25" x14ac:dyDescent="0.2">
      <c r="A1" s="3" t="s">
        <v>0</v>
      </c>
      <c r="B1" s="4">
        <v>2621</v>
      </c>
      <c r="C1" s="1"/>
    </row>
    <row r="2" spans="1:3" ht="14.25" x14ac:dyDescent="0.2">
      <c r="A2" s="3" t="s">
        <v>1</v>
      </c>
      <c r="B2" s="5">
        <v>24358400</v>
      </c>
      <c r="C2" s="1"/>
    </row>
    <row r="3" spans="1:3" ht="14.25" x14ac:dyDescent="0.2">
      <c r="A3" s="3" t="s">
        <v>2</v>
      </c>
      <c r="B3" s="5">
        <v>2436000</v>
      </c>
      <c r="C3" s="1"/>
    </row>
    <row r="4" spans="1:3" ht="14.25" x14ac:dyDescent="0.2">
      <c r="A4" s="3" t="s">
        <v>3</v>
      </c>
      <c r="B4" s="6">
        <f>B3/B2</f>
        <v>0.10000656857593274</v>
      </c>
      <c r="C4" s="1"/>
    </row>
    <row r="5" spans="1:3" ht="14.25" x14ac:dyDescent="0.2">
      <c r="A5" s="3" t="s">
        <v>4</v>
      </c>
      <c r="B5" s="5">
        <v>21922400</v>
      </c>
      <c r="C5" s="1"/>
    </row>
    <row r="6" spans="1:3" ht="14.25" x14ac:dyDescent="0.2">
      <c r="A6" s="3" t="s">
        <v>5</v>
      </c>
      <c r="B6" s="6">
        <f>B5/B2</f>
        <v>0.89999343142406729</v>
      </c>
      <c r="C6" s="1"/>
    </row>
    <row r="7" spans="1:3" ht="14.25" x14ac:dyDescent="0.2">
      <c r="A7" s="3" t="s">
        <v>6</v>
      </c>
      <c r="B7" s="4" t="s">
        <v>7</v>
      </c>
      <c r="C7" s="1" t="s">
        <v>8</v>
      </c>
    </row>
    <row r="8" spans="1:3" ht="14.25" x14ac:dyDescent="0.2">
      <c r="A8" s="3" t="s">
        <v>9</v>
      </c>
      <c r="B8" s="4" t="s">
        <v>10</v>
      </c>
      <c r="C8" s="1" t="s">
        <v>11</v>
      </c>
    </row>
    <row r="9" spans="1:3" ht="14.25" x14ac:dyDescent="0.2">
      <c r="A9" s="3" t="s">
        <v>12</v>
      </c>
      <c r="B9" s="4" t="s">
        <v>13</v>
      </c>
      <c r="C9" s="1" t="s">
        <v>14</v>
      </c>
    </row>
    <row r="10" spans="1:3" ht="14.25" x14ac:dyDescent="0.2">
      <c r="A10" s="3" t="s">
        <v>15</v>
      </c>
      <c r="B10" s="7">
        <v>1.0000000000000001E-5</v>
      </c>
      <c r="C10" s="1"/>
    </row>
    <row r="14" spans="1:3" x14ac:dyDescent="0.2">
      <c r="A14" s="8" t="s">
        <v>16</v>
      </c>
      <c r="B14" s="9">
        <v>5000000000</v>
      </c>
    </row>
    <row r="15" spans="1:3" x14ac:dyDescent="0.2">
      <c r="A15" s="8" t="s">
        <v>17</v>
      </c>
      <c r="B15" s="9">
        <v>10101010</v>
      </c>
    </row>
    <row r="16" spans="1:3" x14ac:dyDescent="0.2">
      <c r="A16" s="8" t="s">
        <v>18</v>
      </c>
      <c r="B16" s="10">
        <f>B15/B14</f>
        <v>2.020202E-3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c</dc:creator>
  <cp:lastModifiedBy>t c</cp:lastModifiedBy>
  <dcterms:created xsi:type="dcterms:W3CDTF">2015-06-05T18:17:20Z</dcterms:created>
  <dcterms:modified xsi:type="dcterms:W3CDTF">2025-06-12T08:10:35Z</dcterms:modified>
</cp:coreProperties>
</file>